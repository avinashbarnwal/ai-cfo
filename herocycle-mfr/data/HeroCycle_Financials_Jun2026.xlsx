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ummary" sheetId="1" state="visible" r:id="rId3"/>
    <sheet name="Monthly Trend" sheetId="2" state="visible" r:id="rId4"/>
    <sheet name="EBITDA Bridge" sheetId="3" state="visible" r:id="rId5"/>
    <sheet name="Cash &amp; W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<sst xmlns="http://schemas.openxmlformats.org/spreadsheetml/2006/main" count="46" uniqueCount="43">
  <si>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HeroCycle - P&amp;L Summary - June 2026 (INR Cr)</t>
  </si>
  <si>
    <t xml:space="preserve">Line item</t>
  </si>
  <si>
    <t xml:space="preserve">Actual</t>
  </si>
  <si>
    <t xml:space="preserve">Budget</t>
  </si>
  <si>
    <t xml:space="preserve">Prior Month</t>
  </si>
  <si>
    <t xml:space="preserve">Prior Year</t>
  </si>
  <si>
    <t xml:space="preserve">Var vs Budget</t>
  </si>
  <si>
    <t xml:space="preserve">Var vs Budget %</t>
  </si>
  <si>
    <t xml:space="preserve">Revenue</t>
  </si>
  <si>
    <t xml:space="preserve">Gross margin %</t>
  </si>
  <si>
    <t xml:space="preserve">Opex</t>
  </si>
  <si>
    <t xml:space="preserve">EBITDA</t>
  </si>
  <si>
    <t xml:space="preserve">Blue cells: month-end close inputs. Black cells: formulas. Source: HeroCycle finance close pack, June 2026 (demo data).</t>
  </si>
  <si>
    <t xml:space="preserve">Monthly Trend - FY26 H2 to FY27 Q1 (INR Cr)</t>
  </si>
  <si>
    <t xml:space="preserve">Month</t>
  </si>
  <si>
    <t xml:space="preserve">GM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</si>
  <si>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</si>
  <si>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</si>
  <si>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</si>
  <si>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</si>
  <si>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</si>
  <si>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</si>
  <si>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EBITDA Bridge - Budget to Actual - June 2026 (INR Cr)</t>
  </si>
  <si>
    <t xml:space="preserve">Bridge item</t>
  </si>
  <si>
    <t xml:space="preserve">Impact</t>
  </si>
  <si>
    <t xml:space="preserve">Budget EBITDA</t>
  </si>
  <si>
    <t xml:space="preserve">Revenue volume beat</t>
  </si>
  <si>
    <t xml:space="preserve">Channel mix (marketplace/D2C)</t>
  </si>
  <si>
    <t xml:space="preserve">Input cost &amp; discounting</t>
  </si>
  <si>
    <t xml:space="preserve">Marketing timing</t>
  </si>
  <si>
    <t xml:space="preserve">Other opex</t>
  </si>
  <si>
    <t xml:space="preserve">Actual EBITDA</t>
  </si>
  <si>
    <t xml:space="preserve">Bridge items from FP&amp;A variance analysis of the June close (demo data).</t>
  </si>
  <si>
    <t xml:space="preserve">Cash &amp; Working Capital Movement - June 2026 (INR Cr)</t>
  </si>
  <si>
    <t xml:space="preserve">Item</t>
  </si>
  <si>
    <t xml:space="preserve">Movement</t>
  </si>
  <si>
    <t xml:space="preserve">Opening cash</t>
  </si>
  <si>
    <t xml:space="preserve">Inventory build (pre-festive)</t>
  </si>
  <si>
    <t xml:space="preserve">AR increase (dealer credit)</t>
  </si>
  <si>
    <t xml:space="preserve">AP increase</t>
  </si>
  <si>
    <t xml:space="preserve">Capex (e-cycle line)</t>
  </si>
  <si>
    <t xml:space="preserve">Tax &amp; other</t>
  </si>
  <si>
    <t xml:space="preserve">Closing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</si>
</sst>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(#,##0.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07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2025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0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s">
        <v>8</v>
      </c>
      <c r="B4" s="5" t="n">
        <v>142.6</v>
      </c>
      <c r="C4" s="5" t="n">
        <v>135</v>
      </c>
      <c r="D4" s="5" t="n">
        <v>138.2</v>
      </c>
      <c r="E4" s="5" t="n">
        <v>121.4</v>
      </c>
      <c r="F4" s="5" t="n">
        <f aca="false">B4-C4</f>
        <v>7.59999999999999</v>
      </c>
      <c r="G4" s="6" t="n">
        <f aca="false">IFERROR((B4-C4)/C4,0)</f>
        <v>0.0562962962962963</v>
      </c>
    </row>
    <row r="5" customFormat="false" ht="15" hidden="false" customHeight="false" outlineLevel="0" collapsed="false">
      <c r="A5" s="4" t="s">
        <v>9</v>
      </c>
      <c r="B5" s="6" t="n">
        <v>0.278</v>
      </c>
      <c r="C5" s="6" t="n">
        <v>0.295</v>
      </c>
      <c r="D5" s="6" t="n">
        <v>0.291</v>
      </c>
      <c r="E5" s="6" t="n">
        <v>0.286</v>
      </c>
      <c r="F5" s="6" t="n">
        <f aca="false">B5-C5</f>
        <v>-0.017</v>
      </c>
      <c r="G5" s="6" t="n">
        <f aca="false">IFERROR((B5-C5)/C5,0)</f>
        <v>-0.0576271186440677</v>
      </c>
    </row>
    <row r="6" customFormat="false" ht="15" hidden="false" customHeight="false" outlineLevel="0" collapsed="false">
      <c r="A6" s="4" t="s">
        <v>10</v>
      </c>
      <c r="B6" s="5" t="n">
        <v>28.4</v>
      </c>
      <c r="C6" s="5" t="n">
        <v>27.5</v>
      </c>
      <c r="D6" s="5" t="n">
        <v>27.1</v>
      </c>
      <c r="E6" s="5" t="n">
        <v>25.9</v>
      </c>
      <c r="F6" s="5" t="n">
        <f aca="false">B6-C6</f>
        <v>0.899999999999999</v>
      </c>
      <c r="G6" s="6" t="n">
        <f aca="false">IFERROR((B6-C6)/C6,0)</f>
        <v>0.0327272727272727</v>
      </c>
    </row>
    <row r="7" customFormat="false" ht="15" hidden="false" customHeight="false" outlineLevel="0" collapsed="false">
      <c r="A7" s="4" t="s">
        <v>11</v>
      </c>
      <c r="B7" s="5" t="n">
        <v>11.2</v>
      </c>
      <c r="C7" s="5" t="n">
        <v>12.4</v>
      </c>
      <c r="D7" s="5" t="n">
        <v>13.1</v>
      </c>
      <c r="E7" s="5" t="n">
        <v>9.8</v>
      </c>
      <c r="F7" s="5" t="n">
        <f aca="false">B7-C7</f>
        <v>-1.2</v>
      </c>
      <c r="G7" s="6" t="n">
        <f aca="false">IFERROR((B7-C7)/C7,0)</f>
        <v>-0.0967741935483872</v>
      </c>
    </row>
    <row r="9" customFormat="false" ht="15" hidden="false" customHeight="false" outlineLevel="0" collapsed="false">
      <c r="A9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2" t="s">
        <v>14</v>
      </c>
      <c r="B3" s="3" t="s">
        <v>8</v>
      </c>
      <c r="C3" s="3" t="s">
        <v>3</v>
      </c>
      <c r="D3" s="3" t="s">
        <v>15</v>
      </c>
    </row>
    <row r="4" customFormat="false" ht="15" hidden="false" customHeight="false" outlineLevel="0" collapsed="false">
      <c r="A4" s="8" t="s">
        <v>16</v>
      </c>
      <c r="B4" s="9" t="n">
        <v>118.4</v>
      </c>
      <c r="C4" s="9" t="n">
        <v>120</v>
      </c>
      <c r="D4" s="10" t="n">
        <v>0.294</v>
      </c>
    </row>
    <row r="5" customFormat="false" ht="15" hidden="false" customHeight="false" outlineLevel="0" collapsed="false">
      <c r="A5" s="8" t="s">
        <v>17</v>
      </c>
      <c r="B5" s="9" t="n">
        <v>121.9</v>
      </c>
      <c r="C5" s="9" t="n">
        <v>122.5</v>
      </c>
      <c r="D5" s="10" t="n">
        <v>0.292</v>
      </c>
    </row>
    <row r="6" customFormat="false" ht="15" hidden="false" customHeight="false" outlineLevel="0" collapsed="false">
      <c r="A6" s="8" t="s">
        <v>18</v>
      </c>
      <c r="B6" s="9" t="n">
        <v>129.8</v>
      </c>
      <c r="C6" s="9" t="n">
        <v>126</v>
      </c>
      <c r="D6" s="10" t="n">
        <v>0.29</v>
      </c>
    </row>
    <row r="7" customFormat="false" ht="15" hidden="false" customHeight="false" outlineLevel="0" collapsed="false">
      <c r="A7" s="8" t="s">
        <v>19</v>
      </c>
      <c r="B7" s="9" t="n">
        <v>131.5</v>
      </c>
      <c r="C7" s="9" t="n">
        <v>128.5</v>
      </c>
      <c r="D7" s="10" t="n">
        <v>0.293</v>
      </c>
    </row>
    <row r="8" customFormat="false" ht="15" hidden="false" customHeight="false" outlineLevel="0" collapsed="false">
      <c r="A8" s="8" t="s">
        <v>20</v>
      </c>
      <c r="B8" s="9" t="n">
        <v>138.2</v>
      </c>
      <c r="C8" s="9" t="n">
        <v>131.5</v>
      </c>
      <c r="D8" s="10" t="n">
        <v>0.291</v>
      </c>
    </row>
    <row r="9" customFormat="false" ht="15" hidden="false" customHeight="false" outlineLevel="0" collapsed="false">
      <c r="A9" s="8" t="s">
        <v>21</v>
      </c>
      <c r="B9" s="9" t="n">
        <v>142.6</v>
      </c>
      <c r="C9" s="9" t="n">
        <v>135</v>
      </c>
      <c r="D9" s="10" t="n">
        <v>0.278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  <c r="B3" s="3" t="s">
        <v>24</v>
      </c>
    </row>
    <row r="4" customFormat="false" ht="15" hidden="false" customHeight="false" outlineLevel="0" collapsed="false">
      <c r="A4" s="8" t="s">
        <v>25</v>
      </c>
      <c r="B4" s="9" t="n">
        <v>12.4</v>
      </c>
    </row>
    <row r="5" customFormat="false" ht="15" hidden="false" customHeight="false" outlineLevel="0" collapsed="false">
      <c r="A5" s="8" t="s">
        <v>26</v>
      </c>
      <c r="B5" s="9" t="n">
        <v>2.1</v>
      </c>
    </row>
    <row r="6" customFormat="false" ht="15" hidden="false" customHeight="false" outlineLevel="0" collapsed="false">
      <c r="A6" s="8" t="s">
        <v>27</v>
      </c>
      <c r="B6" s="9" t="n">
        <v>-1.6</v>
      </c>
    </row>
    <row r="7" customFormat="false" ht="15" hidden="false" customHeight="false" outlineLevel="0" collapsed="false">
      <c r="A7" s="8" t="s">
        <v>28</v>
      </c>
      <c r="B7" s="9" t="n">
        <v>-0.8</v>
      </c>
    </row>
    <row r="8" customFormat="false" ht="15" hidden="false" customHeight="false" outlineLevel="0" collapsed="false">
      <c r="A8" s="8" t="s">
        <v>29</v>
      </c>
      <c r="B8" s="9" t="n">
        <v>-1.2</v>
      </c>
    </row>
    <row r="9" customFormat="false" ht="15" hidden="false" customHeight="false" outlineLevel="0" collapsed="false">
      <c r="A9" s="8" t="s">
        <v>30</v>
      </c>
      <c r="B9" s="9" t="n">
        <v>0.3</v>
      </c>
    </row>
    <row r="10" customFormat="false" ht="15" hidden="false" customHeight="false" outlineLevel="0" collapsed="false">
      <c r="A10" s="11" t="s">
        <v>31</v>
      </c>
      <c r="B10" s="12" t="n">
        <f aca="false">SUM(B4:B9)</f>
        <v>11.2</v>
      </c>
    </row>
    <row r="12" customFormat="false" ht="15" hidden="false" customHeight="false" outlineLevel="0" collapsed="false">
      <c r="A12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33</v>
      </c>
    </row>
    <row r="3" customFormat="false" ht="15" hidden="false" customHeight="false" outlineLevel="0" collapsed="false">
      <c r="A3" s="2" t="s">
        <v>34</v>
      </c>
      <c r="B3" s="3" t="s">
        <v>35</v>
      </c>
    </row>
    <row r="4" customFormat="false" ht="15" hidden="false" customHeight="false" outlineLevel="0" collapsed="false">
      <c r="A4" s="11" t="s">
        <v>36</v>
      </c>
      <c r="B4" s="9" t="n">
        <v>41</v>
      </c>
    </row>
    <row r="5" customFormat="false" ht="15" hidden="false" customHeight="false" outlineLevel="0" collapsed="false">
      <c r="A5" s="8" t="s">
        <v>11</v>
      </c>
      <c r="B5" s="9" t="n">
        <v>11.2</v>
      </c>
    </row>
    <row r="6" customFormat="false" ht="15" hidden="false" customHeight="false" outlineLevel="0" collapsed="false">
      <c r="A6" s="8" t="s">
        <v>37</v>
      </c>
      <c r="B6" s="9" t="n">
        <v>-5.4</v>
      </c>
    </row>
    <row r="7" customFormat="false" ht="15" hidden="false" customHeight="false" outlineLevel="0" collapsed="false">
      <c r="A7" s="8" t="s">
        <v>38</v>
      </c>
      <c r="B7" s="9" t="n">
        <v>-3.1</v>
      </c>
    </row>
    <row r="8" customFormat="false" ht="15" hidden="false" customHeight="false" outlineLevel="0" collapsed="false">
      <c r="A8" s="8" t="s">
        <v>39</v>
      </c>
      <c r="B8" s="9" t="n">
        <v>1.7</v>
      </c>
    </row>
    <row r="9" customFormat="false" ht="15" hidden="false" customHeight="false" outlineLevel="0" collapsed="false">
      <c r="A9" s="8" t="s">
        <v>40</v>
      </c>
      <c r="B9" s="9" t="n">
        <v>-8.6</v>
      </c>
    </row>
    <row r="10" customFormat="false" ht="15" hidden="false" customHeight="false" outlineLevel="0" collapsed="false">
      <c r="A10" s="8" t="s">
        <v>41</v>
      </c>
      <c r="B10" s="9" t="n">
        <v>-2.6</v>
      </c>
    </row>
    <row r="11" customFormat="false" ht="15" hidden="false" customHeight="false" outlineLevel="0" collapsed="false">
      <c r="A11" s="11" t="s">
        <v>42</v>
      </c>
      <c r="B11" s="12" t="n">
        <f aca="false">B4+SUM(B5:B10)</f>
        <v>34.2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2026-07-11T18:06:07Z</dcterms:created>
  <dc:creator>openpyxl</dc:creator>
  <dc:description/>
  <dc:language>en-US</dc:language>
  <cp:lastModifiedBy/>
  <dcterms:modified xsi:type="dcterms:W3CDTF">2026-07-11T18:06:07Z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