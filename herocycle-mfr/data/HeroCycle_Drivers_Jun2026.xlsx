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y Channel" sheetId="1" state="visible" r:id="rId3"/>
    <sheet name="Revenue by Segment" sheetId="2" state="visible" r:id="rId4"/>
    <sheet name="Operating KP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<sst xmlns="http://schemas.openxmlformats.org/spreadsheetml/2006/main" count="32" uniqueCount="26">
  <si>
    <t xml:space="preserve">Revenue by Channel - June 2026 (INR Cr)</t>
  </si>
  <si>
    <t xml:space="preserve">Channel</t>
  </si>
  <si>
    <t xml:space="preserve">Actual</t>
  </si>
  <si>
    <t xml:space="preserve">Budget</t>
  </si>
  <si>
    <t xml:space="preserve">Var vs Budget</t>
  </si>
  <si>
    <t xml:space="preserve">GM %</t>
  </si>
  <si>
    <t xml:space="preserve">Dealer network</t>
  </si>
  <si>
    <t xml:space="preserve">D2C online</t>
  </si>
  <si>
    <t xml:space="preserve">Marketplace</t>
  </si>
  <si>
    <t xml:space="preserve">Total</t>
  </si>
  <si>
    <t xml:space="preserve">Revenue by Segment - June 2026 (INR Cr)</t>
  </si>
  <si>
    <t xml:space="preserve">Segment</t>
  </si>
  <si>
    <t xml:space="preserve">YoY growth %</t>
  </si>
  <si>
    <t xml:space="preserve">E-cycles</t>
  </si>
  <si>
    <t xml:space="preserve">Premium</t>
  </si>
  <si>
    <t xml:space="preserve">Standard</t>
  </si>
  <si>
    <t xml:space="preserve">Operating KPIs - June 2026</t>
  </si>
  <si>
    <t xml:space="preserve">KPI</t>
  </si>
  <si>
    <t xml:space="preserve">Unit</t>
  </si>
  <si>
    <t xml:space="preserve">Units sold</t>
  </si>
  <si>
    <t xml:space="preserve">units</t>
  </si>
  <si>
    <t xml:space="preserve">Average order value</t>
  </si>
  <si>
    <t xml:space="preserve">INR</t>
  </si>
  <si>
    <t xml:space="preserve">Marketing spend</t>
  </si>
  <si>
    <t xml:space="preserve">INR Cr</t>
  </si>
  <si>
    <t xml:space="preserve">Source: HeroCycle sales ops and marketing close reports, June 2026 (demo data).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</si>
</sst>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0.0%"/>
    <numFmt numFmtId="167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0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202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0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4" t="s">
        <v>6</v>
      </c>
      <c r="B4" s="5" t="n">
        <v>78.9</v>
      </c>
      <c r="C4" s="5" t="n">
        <v>79.5</v>
      </c>
      <c r="D4" s="6" t="n">
        <f aca="false">B4-C4</f>
        <v>-0.599999999999994</v>
      </c>
      <c r="E4" s="7" t="n">
        <v>0.301</v>
      </c>
    </row>
    <row r="5" customFormat="false" ht="15" hidden="false" customHeight="false" outlineLevel="0" collapsed="false">
      <c r="A5" s="4" t="s">
        <v>7</v>
      </c>
      <c r="B5" s="5" t="n">
        <v>38.4</v>
      </c>
      <c r="C5" s="5" t="n">
        <v>32.5</v>
      </c>
      <c r="D5" s="6" t="n">
        <f aca="false">B5-C5</f>
        <v>5.9</v>
      </c>
      <c r="E5" s="7" t="n">
        <v>0.274</v>
      </c>
    </row>
    <row r="6" customFormat="false" ht="15" hidden="false" customHeight="false" outlineLevel="0" collapsed="false">
      <c r="A6" s="4" t="s">
        <v>8</v>
      </c>
      <c r="B6" s="5" t="n">
        <v>25.3</v>
      </c>
      <c r="C6" s="5" t="n">
        <v>23</v>
      </c>
      <c r="D6" s="6" t="n">
        <f aca="false">B6-C6</f>
        <v>2.3</v>
      </c>
      <c r="E6" s="7" t="n">
        <v>0.212</v>
      </c>
    </row>
    <row r="7" customFormat="false" ht="15" hidden="false" customHeight="false" outlineLevel="0" collapsed="false">
      <c r="A7" s="8" t="s">
        <v>9</v>
      </c>
      <c r="B7" s="9" t="n">
        <f aca="false">SUM(B4:B6)</f>
        <v>142.6</v>
      </c>
      <c r="C7" s="9" t="n">
        <f aca="false">SUM(C4:C6)</f>
        <v>135</v>
      </c>
      <c r="D7" s="9" t="n">
        <f aca="false">SUM(D4:D6)</f>
        <v>7.60000000000001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2" t="s">
        <v>11</v>
      </c>
      <c r="B3" s="3" t="s">
        <v>2</v>
      </c>
      <c r="C3" s="3" t="s">
        <v>3</v>
      </c>
      <c r="D3" s="3" t="s">
        <v>4</v>
      </c>
      <c r="E3" s="3" t="s">
        <v>12</v>
      </c>
    </row>
    <row r="4" customFormat="false" ht="15" hidden="false" customHeight="false" outlineLevel="0" collapsed="false">
      <c r="A4" s="4" t="s">
        <v>13</v>
      </c>
      <c r="B4" s="5" t="n">
        <v>41.2</v>
      </c>
      <c r="C4" s="5" t="n">
        <v>33.8</v>
      </c>
      <c r="D4" s="6" t="n">
        <f aca="false">B4-C4</f>
        <v>7.40000000000001</v>
      </c>
      <c r="E4" s="7" t="n">
        <v>0.34</v>
      </c>
    </row>
    <row r="5" customFormat="false" ht="15" hidden="false" customHeight="false" outlineLevel="0" collapsed="false">
      <c r="A5" s="4" t="s">
        <v>14</v>
      </c>
      <c r="B5" s="5" t="n">
        <v>33.8</v>
      </c>
      <c r="C5" s="5" t="n">
        <v>33</v>
      </c>
      <c r="D5" s="6" t="n">
        <f aca="false">B5-C5</f>
        <v>0.799999999999997</v>
      </c>
      <c r="E5" s="7" t="n">
        <v>0.09</v>
      </c>
    </row>
    <row r="6" customFormat="false" ht="15" hidden="false" customHeight="false" outlineLevel="0" collapsed="false">
      <c r="A6" s="4" t="s">
        <v>15</v>
      </c>
      <c r="B6" s="5" t="n">
        <v>67.6</v>
      </c>
      <c r="C6" s="5" t="n">
        <v>68.2</v>
      </c>
      <c r="D6" s="6" t="n">
        <f aca="false">B6-C6</f>
        <v>-0.600000000000009</v>
      </c>
      <c r="E6" s="7" t="n">
        <v>-0.04</v>
      </c>
    </row>
    <row r="7" customFormat="false" ht="15" hidden="false" customHeight="false" outlineLevel="0" collapsed="false">
      <c r="A7" s="8" t="s">
        <v>9</v>
      </c>
      <c r="B7" s="9" t="n">
        <f aca="false">SUM(B4:B6)</f>
        <v>142.6</v>
      </c>
      <c r="C7" s="9" t="n">
        <f aca="false">SUM(C4:C6)</f>
        <v>135</v>
      </c>
      <c r="D7" s="9" t="n">
        <f aca="false">SUM(D4:D6)</f>
        <v>7.59999999999999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2" t="s">
        <v>17</v>
      </c>
      <c r="B3" s="3" t="s">
        <v>2</v>
      </c>
      <c r="C3" s="3" t="s">
        <v>3</v>
      </c>
      <c r="D3" s="3" t="s">
        <v>18</v>
      </c>
    </row>
    <row r="4" customFormat="false" ht="15" hidden="false" customHeight="false" outlineLevel="0" collapsed="false">
      <c r="A4" s="4" t="s">
        <v>19</v>
      </c>
      <c r="B4" s="10" t="n">
        <v>118400</v>
      </c>
      <c r="C4" s="10" t="n">
        <v>112000</v>
      </c>
      <c r="D4" s="4" t="s">
        <v>20</v>
      </c>
    </row>
    <row r="5" customFormat="false" ht="15" hidden="false" customHeight="false" outlineLevel="0" collapsed="false">
      <c r="A5" s="4" t="s">
        <v>21</v>
      </c>
      <c r="B5" s="10" t="n">
        <v>12043</v>
      </c>
      <c r="C5" s="10" t="n">
        <v>12054</v>
      </c>
      <c r="D5" s="4" t="s">
        <v>22</v>
      </c>
    </row>
    <row r="6" customFormat="false" ht="15" hidden="false" customHeight="false" outlineLevel="0" collapsed="false">
      <c r="A6" s="4" t="s">
        <v>23</v>
      </c>
      <c r="B6" s="5" t="n">
        <v>6.8</v>
      </c>
      <c r="C6" s="5" t="n">
        <v>5.6</v>
      </c>
      <c r="D6" s="4" t="s">
        <v>24</v>
      </c>
    </row>
    <row r="8" customFormat="false" ht="15" hidden="false" customHeight="false" outlineLevel="0" collapsed="false">
      <c r="A8" s="1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2026-07-11T18:06:07Z</dcterms:created>
  <dc:creator>openpyxl</dc:creator>
  <dc:description/>
  <dc:language>en-US</dc:language>
  <cp:lastModifiedBy/>
  <dcterms:modified xsi:type="dcterms:W3CDTF">2026-07-11T18:06:07Z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